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preencher" sheetId="1" state="visible" r:id="rId1"/>
    <sheet name="Decisões" sheetId="2" state="visible" r:id="rId2"/>
    <sheet name="Resumo" sheetId="3" state="visible" r:id="rId3"/>
  </sheets>
  <definedNames>
    <definedName name="_xlnm._FilterDatabase" localSheetId="1" hidden="1">'Decisões'!$A$1:$M$25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i val="1"/>
    </font>
    <font>
      <name val="Arial"/>
      <i val="1"/>
      <color rgb="00666666"/>
      <sz val="9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867B1"/>
      </patternFill>
    </fill>
    <fill>
      <patternFill patternType="solid">
        <fgColor rgb="00FCF0AE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9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22" customWidth="1" min="4" max="4"/>
    <col width="30" customWidth="1" min="5" max="5"/>
  </cols>
  <sheetData>
    <row r="1">
      <c r="A1" s="1" t="inlineStr">
        <is>
          <t>Renda+ ERP — Decisões pendentes (B01)</t>
        </is>
      </c>
    </row>
    <row r="2">
      <c r="A2" s="2" t="inlineStr"/>
    </row>
    <row r="3">
      <c r="A3" s="2" t="inlineStr">
        <is>
          <t>Estas 24 perguntas dependem do negócio, do financeiro ou do contador. Enquanto não houver resposta, o desenvolvimento usa a 'Premissa atual', que NÃO é regra aprovada.</t>
        </is>
      </c>
    </row>
    <row r="4">
      <c r="A4" s="2" t="inlineStr"/>
    </row>
    <row r="5">
      <c r="A5" s="3" t="inlineStr">
        <is>
          <t>Preencha somente as colunas amarelas da aba 'Decisões':</t>
        </is>
      </c>
    </row>
    <row r="6">
      <c r="A6" s="2" t="inlineStr">
        <is>
          <t xml:space="preserve">  • Sua decisão — escolha na lista: Aceito a premissa / Quero outra regra / Ainda não sei / Vou consultar alguém.</t>
        </is>
      </c>
    </row>
    <row r="7">
      <c r="A7" s="2" t="inlineStr">
        <is>
          <t xml:space="preserve">  • Resposta ou regra — obrigatória quando escolher 'Quero outra regra' (fica vermelha se vazia); descreva com um exemplo se possível.</t>
        </is>
      </c>
    </row>
    <row r="8">
      <c r="A8" s="2" t="inlineStr">
        <is>
          <t xml:space="preserve">  • Respondido por e Observações — opcionais.</t>
        </is>
      </c>
    </row>
    <row r="9">
      <c r="A9" s="2" t="inlineStr"/>
    </row>
    <row r="10">
      <c r="A10" s="2" t="inlineStr">
        <is>
          <t>Prioridade 1 = necessária agora (B02). Números maiores = necessárias mais adiante. Não é preciso responder tudo de uma vez.</t>
        </is>
      </c>
    </row>
    <row r="11">
      <c r="A11" s="2" t="inlineStr">
        <is>
          <t>A coluna 'Quem decide' indica o responsável sugerido: pode repassar a planilha ao financeiro e ao contador.</t>
        </is>
      </c>
    </row>
    <row r="12">
      <c r="A12" s="2" t="inlineStr">
        <is>
          <t>A aba 'Resumo' conta o que já foi respondido. Quando terminar, envie a planilha de volta na conversa.</t>
        </is>
      </c>
    </row>
    <row r="13">
      <c r="A13" s="2" t="inlineStr"/>
    </row>
    <row r="14">
      <c r="A14" s="3" t="inlineStr">
        <is>
          <t>Exemplo de preenchimento (formato esperado):</t>
        </is>
      </c>
    </row>
    <row r="15">
      <c r="A15" s="4" t="inlineStr">
        <is>
          <t>ID</t>
        </is>
      </c>
      <c r="B15" s="4" t="inlineStr">
        <is>
          <t>Sua decisão</t>
        </is>
      </c>
      <c r="C15" s="4" t="inlineStr">
        <is>
          <t>Resposta ou regra</t>
        </is>
      </c>
      <c r="D15" s="4" t="inlineStr">
        <is>
          <t>Respondido por</t>
        </is>
      </c>
      <c r="E15" s="4" t="inlineStr">
        <is>
          <t>Observações</t>
        </is>
      </c>
    </row>
    <row r="16">
      <c r="A16" s="5" t="inlineStr">
        <is>
          <t>PD-005</t>
        </is>
      </c>
      <c r="B16" s="5" t="inlineStr">
        <is>
          <t>Quero outra regra</t>
        </is>
      </c>
      <c r="C16" s="5" t="inlineStr">
        <is>
          <t>Permitir estorno parcial com motivo; só o financeiro pode fazer.</t>
        </is>
      </c>
      <c r="D16" s="5" t="inlineStr">
        <is>
          <t>Maria (financeiro)</t>
        </is>
      </c>
      <c r="E16" s="5" t="inlineStr">
        <is>
          <t>Acontece 2–3 vezes por mês</t>
        </is>
      </c>
    </row>
    <row r="17">
      <c r="A17" s="6" t="inlineStr">
        <is>
          <t>(linha ilustrativa — não é uma resposta real)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4" customWidth="1" min="3" max="3"/>
    <col width="48" customWidth="1" min="4" max="4"/>
    <col width="42" customWidth="1" min="5" max="5"/>
    <col width="36" customWidth="1" min="6" max="6"/>
    <col width="38" customWidth="1" min="7" max="7"/>
    <col width="20" customWidth="1" min="8" max="8"/>
    <col width="13" customWidth="1" min="9" max="9"/>
    <col width="21" customWidth="1" min="10" max="10"/>
    <col width="44" customWidth="1" min="11" max="11"/>
    <col width="18" customWidth="1" min="12" max="12"/>
    <col width="28" customWidth="1" min="13" max="13"/>
  </cols>
  <sheetData>
    <row r="1">
      <c r="A1" s="7" t="inlineStr">
        <is>
          <t>Prioridade</t>
        </is>
      </c>
      <c r="B1" s="7" t="inlineStr">
        <is>
          <t>ID</t>
        </is>
      </c>
      <c r="C1" s="7" t="inlineStr">
        <is>
          <t>Tema</t>
        </is>
      </c>
      <c r="D1" s="7" t="inlineStr">
        <is>
          <t>Pergunta</t>
        </is>
      </c>
      <c r="E1" s="7" t="inlineStr">
        <is>
          <t>Exemplo</t>
        </is>
      </c>
      <c r="F1" s="7" t="inlineStr">
        <is>
          <t>Opções</t>
        </is>
      </c>
      <c r="G1" s="7" t="inlineStr">
        <is>
          <t>Premissa atual (provisória)</t>
        </is>
      </c>
      <c r="H1" s="7" t="inlineStr">
        <is>
          <t>Quem decide</t>
        </is>
      </c>
      <c r="I1" s="7" t="inlineStr">
        <is>
          <t>Necessária em</t>
        </is>
      </c>
      <c r="J1" s="7" t="inlineStr">
        <is>
          <t>Sua decisão</t>
        </is>
      </c>
      <c r="K1" s="7" t="inlineStr">
        <is>
          <t>Resposta ou regra</t>
        </is>
      </c>
      <c r="L1" s="7" t="inlineStr">
        <is>
          <t>Respondido por</t>
        </is>
      </c>
      <c r="M1" s="7" t="inlineStr">
        <is>
          <t>Observações</t>
        </is>
      </c>
    </row>
    <row r="2" ht="110" customHeight="1">
      <c r="A2" s="8" t="n">
        <v>1</v>
      </c>
      <c r="B2" s="9" t="inlineStr">
        <is>
          <t>PD-002</t>
        </is>
      </c>
      <c r="C2" s="10" t="inlineStr">
        <is>
          <t>Arredondamento de valores</t>
        </is>
      </c>
      <c r="D2" s="10" t="inlineStr">
        <is>
          <t>Quando um valor não divide exatamente (parcelas, rateios, repasses), para onde vai o centavo que sobra? E arredondamos cada linha ou só o total do documento?</t>
        </is>
      </c>
      <c r="E2" s="10" t="inlineStr">
        <is>
          <t>R$ 100,00 em 3 parcelas: 33,34 + 33,33 + 33,33 (centavo na 1ª) ou 33,33 + 33,33 + 33,34 (centavo na última)?</t>
        </is>
      </c>
      <c r="F2" s="10" t="inlineStr">
        <is>
          <t>a) Centavo na 1ª parcela | b) Centavo na última parcela | c) Outra regra. Arredondar: por linha ou por documento</t>
        </is>
      </c>
      <c r="G2" s="10" t="inlineStr">
        <is>
          <t>Arredondamento 'meio-par' por linha; centavo que sobra vai para a 1ª parcela</t>
        </is>
      </c>
      <c r="H2" s="10" t="inlineStr">
        <is>
          <t>Financeiro + contador</t>
        </is>
      </c>
      <c r="I2" s="10" t="inlineStr">
        <is>
          <t>B02 (agora)</t>
        </is>
      </c>
      <c r="J2" s="11" t="inlineStr"/>
      <c r="K2" s="11" t="inlineStr"/>
      <c r="L2" s="11" t="inlineStr"/>
      <c r="M2" s="11" t="inlineStr"/>
    </row>
    <row r="3" ht="110" customHeight="1">
      <c r="A3" s="8" t="n">
        <v>1</v>
      </c>
      <c r="B3" s="9" t="inlineStr">
        <is>
          <t>PD-007</t>
        </is>
      </c>
      <c r="C3" s="10" t="inlineStr">
        <is>
          <t>Casas decimais de quantidades e preços</t>
        </is>
      </c>
      <c r="D3" s="10" t="inlineStr">
        <is>
          <t>Quantas casas decimais precisamos para quantidades (ex.: 2,5 m de chapa) e preços unitários (ex.: R$ 0,037 por parafuso)?</t>
        </is>
      </c>
      <c r="E3" s="10" t="inlineStr">
        <is>
          <t>Parafuso comprado a R$ 3,70 o cento = R$ 0,037 a unidade: precisa de 3 casas. Chapa em kg pode precisar de 3 ou 4.</t>
        </is>
      </c>
      <c r="F3" s="10" t="inlineStr">
        <is>
          <t>a) 6 casas (folga) | b) 4 casas | c) Outra</t>
        </is>
      </c>
      <c r="G3" s="10" t="inlineStr">
        <is>
          <t>6 casas decimais para quantidade, preço unitário e percentual</t>
        </is>
      </c>
      <c r="H3" s="10" t="inlineStr">
        <is>
          <t>Engenharia + desenvolvimento</t>
        </is>
      </c>
      <c r="I3" s="10" t="inlineStr">
        <is>
          <t>B02 (agora)</t>
        </is>
      </c>
      <c r="J3" s="11" t="inlineStr"/>
      <c r="K3" s="11" t="inlineStr"/>
      <c r="L3" s="11" t="inlineStr"/>
      <c r="M3" s="11" t="inlineStr"/>
    </row>
    <row r="4" ht="110" customHeight="1">
      <c r="A4" s="8" t="n">
        <v>2</v>
      </c>
      <c r="B4" s="9" t="inlineStr">
        <is>
          <t>PD-008</t>
        </is>
      </c>
      <c r="C4" s="10" t="inlineStr">
        <is>
          <t>Como os usuários vão fazer login</t>
        </is>
      </c>
      <c r="D4" s="10" t="inlineStr">
        <is>
          <t>Os usuários entram com usuário e senha próprios do ERP, ou com a conta que a empresa já usa (Google, Microsoft)? Quem cria e desativa usuários?</t>
        </is>
      </c>
      <c r="E4" s="10" t="inlineStr">
        <is>
          <t>Funcionário desligado: quem bloqueia o acesso dele e em quanto tempo?</t>
        </is>
      </c>
      <c r="F4" s="10" t="inlineStr">
        <is>
          <t>a) Usuário e senha do ERP | b) Conta Google Workspace | c) Conta Microsoft | d) Outra</t>
        </is>
      </c>
      <c r="G4" s="10" t="inlineStr">
        <is>
          <t>Não definido</t>
        </is>
      </c>
      <c r="H4" s="10" t="inlineStr">
        <is>
          <t>Negócio + infraestrutura</t>
        </is>
      </c>
      <c r="I4" s="10" t="inlineStr">
        <is>
          <t>B03</t>
        </is>
      </c>
      <c r="J4" s="11" t="inlineStr"/>
      <c r="K4" s="11" t="inlineStr"/>
      <c r="L4" s="11" t="inlineStr"/>
      <c r="M4" s="11" t="inlineStr"/>
    </row>
    <row r="5" ht="110" customHeight="1">
      <c r="A5" s="8" t="n">
        <v>2</v>
      </c>
      <c r="B5" s="9" t="inlineStr">
        <is>
          <t>PD-009</t>
        </is>
      </c>
      <c r="C5" s="10" t="inlineStr">
        <is>
          <t>Quem pode fazer o quê</t>
        </is>
      </c>
      <c r="D5" s="10" t="inlineStr">
        <is>
          <t>Quais pessoas (ou cargos) podem confirmar pedidos, aprovar compras, dar baixa, estornar, aprovar repasses e exportar dados? Há limite de valor para aprovação?</t>
        </is>
      </c>
      <c r="E5" s="10" t="inlineStr">
        <is>
          <t>Compra acima de R$ 20.000 precisa de aprovação do Edson? Quem registra o pagamento pode ser a mesma pessoa que aprova?</t>
        </is>
      </c>
      <c r="F5" s="10" t="inlineStr">
        <is>
          <t>Liste cargos/pessoas por ação e eventuais limites de valor</t>
        </is>
      </c>
      <c r="G5" s="10" t="inlineStr">
        <is>
          <t>Perfis sugeridos (Administração, Comercial, Engenharia, Compras, Operação, Financeiro, Pós-venda, Consulta), sem usuários reais</t>
        </is>
      </c>
      <c r="H5" s="10" t="inlineStr">
        <is>
          <t>Negócio (Edson)</t>
        </is>
      </c>
      <c r="I5" s="10" t="inlineStr">
        <is>
          <t>B03 / piloto</t>
        </is>
      </c>
      <c r="J5" s="11" t="inlineStr"/>
      <c r="K5" s="11" t="inlineStr"/>
      <c r="L5" s="11" t="inlineStr"/>
      <c r="M5" s="11" t="inlineStr"/>
    </row>
    <row r="6" ht="110" customHeight="1">
      <c r="A6" s="8" t="n">
        <v>3</v>
      </c>
      <c r="B6" s="9" t="inlineStr">
        <is>
          <t>PD-001</t>
        </is>
      </c>
      <c r="C6" s="10" t="inlineStr">
        <is>
          <t>Projetos gerados por pedido</t>
        </is>
      </c>
      <c r="D6" s="10" t="inlineStr">
        <is>
          <t>Quando um pedido é confirmado, quantos projetos o sistema cria? Um por pedido, um por equipamento, ou separado por escopo (balança / mecânica / elétrica)?</t>
        </is>
      </c>
      <c r="E6" s="10" t="inlineStr">
        <is>
          <t>Pedido com 2 balanças para a mesma unidade: 1 projeto com 2 equipamentos, ou 2 projetos?</t>
        </is>
      </c>
      <c r="F6" s="10" t="inlineStr">
        <is>
          <t>a) 1 projeto por pedido | b) 1 projeto por equipamento | c) Por escopo | d) Outra</t>
        </is>
      </c>
      <c r="G6" s="10" t="inlineStr">
        <is>
          <t>1 projeto por pedido, com 1 equipamento para cada unidade vendida</t>
        </is>
      </c>
      <c r="H6" s="10" t="inlineStr">
        <is>
          <t>Negócio (Edson)</t>
        </is>
      </c>
      <c r="I6" s="10" t="inlineStr">
        <is>
          <t>B05</t>
        </is>
      </c>
      <c r="J6" s="11" t="inlineStr"/>
      <c r="K6" s="11" t="inlineStr"/>
      <c r="L6" s="11" t="inlineStr"/>
      <c r="M6" s="11" t="inlineStr"/>
    </row>
    <row r="7" ht="110" customHeight="1">
      <c r="A7" s="8" t="n">
        <v>3</v>
      </c>
      <c r="B7" s="9" t="inlineStr">
        <is>
          <t>PD-003</t>
        </is>
      </c>
      <c r="C7" s="10" t="inlineStr">
        <is>
          <t>Cancelamento de pedido já confirmado</t>
        </is>
      </c>
      <c r="D7" s="10" t="inlineStr">
        <is>
          <t>Se um cliente cancela depois de confirmar, o que acontece com o dinheiro já recebido, material reservado e produção iniciada?</t>
        </is>
      </c>
      <c r="E7" s="10" t="inlineStr">
        <is>
          <t>Cliente pagou a entrada de R$ 55.500 e cancelou: devolve tudo, retém uma parte, vira crédito?</t>
        </is>
      </c>
      <c r="F7" s="10" t="inlineStr">
        <is>
          <t>Descrever regra para: valor recebido, material reservado/comprado, produção iniciada</t>
        </is>
      </c>
      <c r="G7" s="10" t="inlineStr">
        <is>
          <t>Cancelamento bloqueado se houver recebimento, reserva, consumo ou produção; sem nada disso, cancela parcelas e projeto</t>
        </is>
      </c>
      <c r="H7" s="10" t="inlineStr">
        <is>
          <t>Negócio + financeiro</t>
        </is>
      </c>
      <c r="I7" s="10" t="inlineStr">
        <is>
          <t>B05</t>
        </is>
      </c>
      <c r="J7" s="11" t="inlineStr"/>
      <c r="K7" s="11" t="inlineStr"/>
      <c r="L7" s="11" t="inlineStr"/>
      <c r="M7" s="11" t="inlineStr"/>
    </row>
    <row r="8" ht="110" customHeight="1">
      <c r="A8" s="8" t="n">
        <v>3</v>
      </c>
      <c r="B8" s="9" t="inlineStr">
        <is>
          <t>PD-024</t>
        </is>
      </c>
      <c r="C8" s="10" t="inlineStr">
        <is>
          <t>Definição de 'carteira' e 'faturamento' nos painéis</t>
        </is>
      </c>
      <c r="D8" s="10" t="inlineStr">
        <is>
          <t>No painel, 'carteira' deve ser pedidos confirmados pela data de confirmação? 'Faturamento' deve ser notas emitidas pela competência?</t>
        </is>
      </c>
      <c r="E8" s="10" t="inlineStr">
        <is>
          <t>Hoje a planilha chama de 'faturamento anual' o que na verdade é valor vendido.</t>
        </is>
      </c>
      <c r="F8" s="10" t="inlineStr">
        <is>
          <t>a) Aceitar as definições propostas | b) Ajustar (descrever)</t>
        </is>
      </c>
      <c r="G8" s="10" t="inlineStr">
        <is>
          <t>Carteira = pedidos confirmados (data de confirmação); faturamento = notas registradas (competência)</t>
        </is>
      </c>
      <c r="H8" s="10" t="inlineStr">
        <is>
          <t>Negócio (Edson)</t>
        </is>
      </c>
      <c r="I8" s="10" t="inlineStr">
        <is>
          <t>B05</t>
        </is>
      </c>
      <c r="J8" s="11" t="inlineStr"/>
      <c r="K8" s="11" t="inlineStr"/>
      <c r="L8" s="11" t="inlineStr"/>
      <c r="M8" s="11" t="inlineStr"/>
    </row>
    <row r="9" ht="110" customHeight="1">
      <c r="A9" s="8" t="n">
        <v>4</v>
      </c>
      <c r="B9" s="9" t="inlineStr">
        <is>
          <t>PD-004</t>
        </is>
      </c>
      <c r="C9" s="10" t="inlineStr">
        <is>
          <t>Pagamento maior que o saldo</t>
        </is>
      </c>
      <c r="D9" s="10" t="inlineStr">
        <is>
          <t>Se o cliente paga mais do que deve numa parcela, o sistema recusa ou guarda a diferença como crédito do cliente?</t>
        </is>
      </c>
      <c r="E9" s="10" t="inlineStr">
        <is>
          <t>Parcela de R$ 55.500, cliente depositou R$ 56.000: R$ 500 viram crédito para a próxima parcela?</t>
        </is>
      </c>
      <c r="F9" s="10" t="inlineStr">
        <is>
          <t>a) Recusar | b) Virar crédito automaticamente | c) Virar crédito só com autorização</t>
        </is>
      </c>
      <c r="G9" s="10" t="inlineStr">
        <is>
          <t>Recusar, salvo crédito explícito registrado por quem tem permissão</t>
        </is>
      </c>
      <c r="H9" s="10" t="inlineStr">
        <is>
          <t>Financeiro</t>
        </is>
      </c>
      <c r="I9" s="10" t="inlineStr">
        <is>
          <t>B06</t>
        </is>
      </c>
      <c r="J9" s="11" t="inlineStr"/>
      <c r="K9" s="11" t="inlineStr"/>
      <c r="L9" s="11" t="inlineStr"/>
      <c r="M9" s="11" t="inlineStr"/>
    </row>
    <row r="10" ht="110" customHeight="1">
      <c r="A10" s="8" t="n">
        <v>4</v>
      </c>
      <c r="B10" s="9" t="inlineStr">
        <is>
          <t>PD-005</t>
        </is>
      </c>
      <c r="C10" s="10" t="inlineStr">
        <is>
          <t>Estorno parcial</t>
        </is>
      </c>
      <c r="D10" s="10" t="inlineStr">
        <is>
          <t>Precisamos estornar só parte de um recebimento/pagamento, ou basta estornar tudo e lançar de novo o valor correto?</t>
        </is>
      </c>
      <c r="E10" s="10" t="inlineStr">
        <is>
          <t>Recebimento lançado como R$ 55.500 mas eram R$ 55.000.</t>
        </is>
      </c>
      <c r="F10" s="10" t="inlineStr">
        <is>
          <t>a) Estornar tudo e relançar | b) Permitir estorno parcial</t>
        </is>
      </c>
      <c r="G10" s="10" t="inlineStr">
        <is>
          <t>Estorno sempre total; corrige relançando</t>
        </is>
      </c>
      <c r="H10" s="10" t="inlineStr">
        <is>
          <t>Financeiro</t>
        </is>
      </c>
      <c r="I10" s="10" t="inlineStr">
        <is>
          <t>B06</t>
        </is>
      </c>
      <c r="J10" s="11" t="inlineStr"/>
      <c r="K10" s="11" t="inlineStr"/>
      <c r="L10" s="11" t="inlineStr"/>
      <c r="M10" s="11" t="inlineStr"/>
    </row>
    <row r="11" ht="110" customHeight="1">
      <c r="A11" s="8" t="n">
        <v>4</v>
      </c>
      <c r="B11" s="9" t="inlineStr">
        <is>
          <t>PD-006</t>
        </is>
      </c>
      <c r="C11" s="10" t="inlineStr">
        <is>
          <t>Estorno de lançamento já conciliado com o extrato</t>
        </is>
      </c>
      <c r="D11" s="10" t="inlineStr">
        <is>
          <t>Para estornar um recebimento que já foi conferido com o extrato bancário, é preciso primeiro desfazer a conciliação?</t>
        </is>
      </c>
      <c r="E11" s="10" t="inlineStr">
        <is>
          <t>Evita que o extrato continue marcado como conferido com um lançamento que não existe mais.</t>
        </is>
      </c>
      <c r="F11" s="10" t="inlineStr">
        <is>
          <t>a) Exigir desconciliar antes | b) Estornar e desconciliar juntos automaticamente</t>
        </is>
      </c>
      <c r="G11" s="10" t="inlineStr">
        <is>
          <t>Exigir desconciliação antes</t>
        </is>
      </c>
      <c r="H11" s="10" t="inlineStr">
        <is>
          <t>Financeiro</t>
        </is>
      </c>
      <c r="I11" s="10" t="inlineStr">
        <is>
          <t>B06</t>
        </is>
      </c>
      <c r="J11" s="11" t="inlineStr"/>
      <c r="K11" s="11" t="inlineStr"/>
      <c r="L11" s="11" t="inlineStr"/>
      <c r="M11" s="11" t="inlineStr"/>
    </row>
    <row r="12" ht="110" customHeight="1">
      <c r="A12" s="8" t="n">
        <v>4</v>
      </c>
      <c r="B12" s="9" t="inlineStr">
        <is>
          <t>PD-010</t>
        </is>
      </c>
      <c r="C12" s="10" t="inlineStr">
        <is>
          <t>Categorias financeiras e centros de resultado</t>
        </is>
      </c>
      <c r="D12" s="10" t="inlineStr">
        <is>
          <t>Qual a lista de categorias de receita e despesa e os centros de resultado (ex.: Renda+, Mecânica, Elétrica)?</t>
        </is>
      </c>
      <c r="E12" s="10" t="inlineStr">
        <is>
          <t>Despesa de viagem de instalação: categoria 'Viagens' no centro 'Instalação'?</t>
        </is>
      </c>
      <c r="F12" s="10" t="inlineStr">
        <is>
          <t>Enviar a lista (pode ser a planilha atual)</t>
        </is>
      </c>
      <c r="G12" s="10" t="inlineStr">
        <is>
          <t>Categoria obrigatória em todo título; lista ainda a cadastrar</t>
        </is>
      </c>
      <c r="H12" s="10" t="inlineStr">
        <is>
          <t>Financeiro</t>
        </is>
      </c>
      <c r="I12" s="10" t="inlineStr">
        <is>
          <t>B06</t>
        </is>
      </c>
      <c r="J12" s="11" t="inlineStr"/>
      <c r="K12" s="11" t="inlineStr"/>
      <c r="L12" s="11" t="inlineStr"/>
      <c r="M12" s="11" t="inlineStr"/>
    </row>
    <row r="13" ht="110" customHeight="1">
      <c r="A13" s="8" t="n">
        <v>4</v>
      </c>
      <c r="B13" s="9" t="inlineStr">
        <is>
          <t>PD-023</t>
        </is>
      </c>
      <c r="C13" s="10" t="inlineStr">
        <is>
          <t>Nota fiscal que não bate com as parcelas</t>
        </is>
      </c>
      <c r="D13" s="10" t="inlineStr">
        <is>
          <t>Quando a nota fiscal tem valor diferente de uma parcela (ex.: nota de 50% e parcelas de 30/40/30), como associamos a nota às parcelas?</t>
        </is>
      </c>
      <c r="E13" s="10" t="inlineStr">
        <is>
          <t>NF de R$ 92.500 = parcela 1 (R$ 55.500) + R$ 37.000 da parcela 2.</t>
        </is>
      </c>
      <c r="F13" s="10" t="inlineStr">
        <is>
          <t>a) Vincular por valor a várias parcelas | b) Outra regra</t>
        </is>
      </c>
      <c r="G13" s="10" t="inlineStr">
        <is>
          <t>Vínculo por valor a uma ou mais parcelas, sem ultrapassar o valor da nota nem das parcelas</t>
        </is>
      </c>
      <c r="H13" s="10" t="inlineStr">
        <is>
          <t>Financeiro</t>
        </is>
      </c>
      <c r="I13" s="10" t="inlineStr">
        <is>
          <t>B06</t>
        </is>
      </c>
      <c r="J13" s="11" t="inlineStr"/>
      <c r="K13" s="11" t="inlineStr"/>
      <c r="L13" s="11" t="inlineStr"/>
      <c r="M13" s="11" t="inlineStr"/>
    </row>
    <row r="14" ht="110" customHeight="1">
      <c r="A14" s="8" t="n">
        <v>5</v>
      </c>
      <c r="B14" s="9" t="inlineStr">
        <is>
          <t>PD-011</t>
        </is>
      </c>
      <c r="C14" s="10" t="inlineStr">
        <is>
          <t>Custo de estoque e lançamentos retroativos</t>
        </is>
      </c>
      <c r="D14" s="10" t="inlineStr">
        <is>
          <t>Pode haver estoque negativo? Se alguém lançar uma entrada com data antiga, o custo médio é recalculado? Devolução volta ao custo original?</t>
        </is>
      </c>
      <c r="E14" s="10" t="inlineStr">
        <is>
          <t>Nota de compra de agosto lançada em outubro muda o custo do material já consumido em setembro?</t>
        </is>
      </c>
      <c r="F14" s="10" t="inlineStr">
        <is>
          <t>Responder: estoque negativo (sim/não); retroativo (recalcula/ajusta/bloqueia); devolução (custo original/custo médio atual)</t>
        </is>
      </c>
      <c r="G14" s="10" t="inlineStr">
        <is>
          <t>Custo médio móvel; disponível nunca negativo; lançamento retroativo bloqueado até definição</t>
        </is>
      </c>
      <c r="H14" s="10" t="inlineStr">
        <is>
          <t>Financeiro + operação</t>
        </is>
      </c>
      <c r="I14" s="10" t="inlineStr">
        <is>
          <t>B08</t>
        </is>
      </c>
      <c r="J14" s="11" t="inlineStr"/>
      <c r="K14" s="11" t="inlineStr"/>
      <c r="L14" s="11" t="inlineStr"/>
      <c r="M14" s="11" t="inlineStr"/>
    </row>
    <row r="15" ht="110" customHeight="1">
      <c r="A15" s="8" t="n">
        <v>5</v>
      </c>
      <c r="B15" s="9" t="inlineStr">
        <is>
          <t>PD-014</t>
        </is>
      </c>
      <c r="C15" s="10" t="inlineStr">
        <is>
          <t>Critérios de inspeção e aceite</t>
        </is>
      </c>
      <c r="D15" s="10" t="inlineStr">
        <is>
          <t>Quais checklists e critérios de aprovação existem hoje (inclusive o POP-MP-RENDA-001 e os desenhos citados na EAP)? Pode enviar esses documentos?</t>
        </is>
      </c>
      <c r="E15" s="10" t="inlineStr">
        <is>
          <t>Teste de estanqueidade: qual pressão, por quanto tempo, com foto obrigatória?</t>
        </is>
      </c>
      <c r="F15" s="10" t="inlineStr">
        <is>
          <t>Enviar documentos ou descrever critérios</t>
        </is>
      </c>
      <c r="G15" s="10" t="inlineStr">
        <is>
          <t>Checklist versionado genérico; nenhum critério inventado</t>
        </is>
      </c>
      <c r="H15" s="10" t="inlineStr">
        <is>
          <t>Engenharia / qualidade</t>
        </is>
      </c>
      <c r="I15" s="10" t="inlineStr">
        <is>
          <t>B09</t>
        </is>
      </c>
      <c r="J15" s="11" t="inlineStr"/>
      <c r="K15" s="11" t="inlineStr"/>
      <c r="L15" s="11" t="inlineStr"/>
      <c r="M15" s="11" t="inlineStr"/>
    </row>
    <row r="16" ht="110" customHeight="1">
      <c r="A16" s="8" t="n">
        <v>5</v>
      </c>
      <c r="B16" s="9" t="inlineStr">
        <is>
          <t>PD-015</t>
        </is>
      </c>
      <c r="C16" s="10" t="inlineStr">
        <is>
          <t>Início e termos da garantia</t>
        </is>
      </c>
      <c r="D16" s="10" t="inlineStr">
        <is>
          <t>A garantia começa no aceite do cliente, na entrega ou na emissão da nota? Qual o prazo e o que cobre?</t>
        </is>
      </c>
      <c r="E16" s="10" t="inlineStr">
        <is>
          <t>Balança aceita em 07/10/2026 com garantia de 12 meses → vale até 06/10/2027?</t>
        </is>
      </c>
      <c r="F16" s="10" t="inlineStr">
        <is>
          <t>a) Aceite do cliente | b) Entrega | c) Nota fiscal | d) Outra. Informar prazo e cobertura</t>
        </is>
      </c>
      <c r="G16" s="10" t="inlineStr">
        <is>
          <t>Começa no aceite registrado; termos cadastrados por contrato</t>
        </is>
      </c>
      <c r="H16" s="10" t="inlineStr">
        <is>
          <t>Negócio (Edson)</t>
        </is>
      </c>
      <c r="I16" s="10" t="inlineStr">
        <is>
          <t>B09 / B11</t>
        </is>
      </c>
      <c r="J16" s="11" t="inlineStr"/>
      <c r="K16" s="11" t="inlineStr"/>
      <c r="L16" s="11" t="inlineStr"/>
      <c r="M16" s="11" t="inlineStr"/>
    </row>
    <row r="17" ht="110" customHeight="1">
      <c r="A17" s="8" t="n">
        <v>5</v>
      </c>
      <c r="B17" s="9" t="inlineStr">
        <is>
          <t>PD-016</t>
        </is>
      </c>
      <c r="C17" s="10" t="inlineStr">
        <is>
          <t>Cálculo do que comprar (MRP)</t>
        </is>
      </c>
      <c r="D17" s="10" t="inlineStr">
        <is>
          <t>Confirma a regra: necessidade = consumo da BOM na data − estoque livre − compras que chegam antes da data, sem usar material reservado para outro projeto?</t>
        </is>
      </c>
      <c r="E17" s="10" t="inlineStr">
        <is>
          <t>2 motorredutores necessários dia 24/07; 3 em estoque, 2 reservados a outro projeto; compra chega 30/07 → comprar 1.</t>
        </is>
      </c>
      <c r="F17" s="10" t="inlineStr">
        <is>
          <t>a) Aceitar | b) Ajustar (descrever)</t>
        </is>
      </c>
      <c r="G17" s="10" t="inlineStr">
        <is>
          <t>Cálculo por data; cada material conta uma vez; compra em cotação não conta</t>
        </is>
      </c>
      <c r="H17" s="10" t="inlineStr">
        <is>
          <t>Operação + suprimentos</t>
        </is>
      </c>
      <c r="I17" s="10" t="inlineStr">
        <is>
          <t>B08</t>
        </is>
      </c>
      <c r="J17" s="11" t="inlineStr"/>
      <c r="K17" s="11" t="inlineStr"/>
      <c r="L17" s="11" t="inlineStr"/>
      <c r="M17" s="11" t="inlineStr"/>
    </row>
    <row r="18" ht="110" customHeight="1">
      <c r="A18" s="8" t="n">
        <v>5</v>
      </c>
      <c r="B18" s="9" t="inlineStr">
        <is>
          <t>PD-017</t>
        </is>
      </c>
      <c r="C18" s="10" t="inlineStr">
        <is>
          <t>Contagem de dias no cronograma</t>
        </is>
      </c>
      <c r="D18" s="10" t="inlineStr">
        <is>
          <t>No cronograma, uma atividade de 2 dias que começa dia 1 termina dia 2 ou dia 3? Contamos sábados, domingos e feriados?</t>
        </is>
      </c>
      <c r="E18" s="10" t="inlineStr">
        <is>
          <t>Hoje há divergência de 1 dia entre EAP e Gantt (ex.: dias 35–37 × 36–38).</t>
        </is>
      </c>
      <c r="F18" s="10" t="inlineStr">
        <is>
          <t>a) Termina dia 2, dias corridos | b) Termina dia 2, só dias úteis | c) Outra</t>
        </is>
      </c>
      <c r="G18" s="10" t="inlineStr">
        <is>
          <t>Dias corridos; término = início + duração − 1; marco tem duração zero</t>
        </is>
      </c>
      <c r="H18" s="10" t="inlineStr">
        <is>
          <t>Engenharia</t>
        </is>
      </c>
      <c r="I18" s="10" t="inlineStr">
        <is>
          <t>B07</t>
        </is>
      </c>
      <c r="J18" s="11" t="inlineStr"/>
      <c r="K18" s="11" t="inlineStr"/>
      <c r="L18" s="11" t="inlineStr"/>
      <c r="M18" s="11" t="inlineStr"/>
    </row>
    <row r="19" ht="110" customHeight="1">
      <c r="A19" s="8" t="n">
        <v>5</v>
      </c>
      <c r="B19" s="9" t="inlineStr">
        <is>
          <t>PD-018</t>
        </is>
      </c>
      <c r="C19" s="10" t="inlineStr">
        <is>
          <t>Pesos das atividades e avanço</t>
        </is>
      </c>
      <c r="D19" s="10" t="inlineStr">
        <is>
          <t>O avanço do projeto deve ser calculado pelos pesos das atividades da EAP (que somam 100%)? Quem define e valida os pesos?</t>
        </is>
      </c>
      <c r="E19" s="10" t="inlineStr">
        <is>
          <t>Atividade com peso 10% concluída = projeto avança 10%.</t>
        </is>
      </c>
      <c r="F19" s="10" t="inlineStr">
        <is>
          <t>a) Pelos pesos da EAP | b) Outra forma</t>
        </is>
      </c>
      <c r="G19" s="10" t="inlineStr">
        <is>
          <t>Avanço ponderado pelos pesos validados, somando 100%</t>
        </is>
      </c>
      <c r="H19" s="10" t="inlineStr">
        <is>
          <t>Engenharia</t>
        </is>
      </c>
      <c r="I19" s="10" t="inlineStr">
        <is>
          <t>B07</t>
        </is>
      </c>
      <c r="J19" s="11" t="inlineStr"/>
      <c r="K19" s="11" t="inlineStr"/>
      <c r="L19" s="11" t="inlineStr"/>
      <c r="M19" s="11" t="inlineStr"/>
    </row>
    <row r="20" ht="110" customHeight="1">
      <c r="A20" s="8" t="n">
        <v>6</v>
      </c>
      <c r="B20" s="9" t="inlineStr">
        <is>
          <t>PD-012</t>
        </is>
      </c>
      <c r="C20" s="10" t="inlineStr">
        <is>
          <t>Regras de repasse</t>
        </is>
      </c>
      <c r="D20" s="10" t="inlineStr">
        <is>
          <t>Quem recebe repasses, sobre qual base (faturamento, recebimento ou resultado), com que percentual e desde quando? Há reserva de caixa? Algum projeto tem regra diferente?</t>
        </is>
      </c>
      <c r="E20" s="10" t="inlineStr">
        <is>
          <t>O fluxo atual cita Rafael, Edson, Everton, Sergio, mecânica, elétrica e caixa, mas sem fórmula explícita.</t>
        </is>
      </c>
      <c r="F20" s="10" t="inlineStr">
        <is>
          <t>Descrever por beneficiário: base, percentual, vigência e exceções</t>
        </is>
      </c>
      <c r="G20" s="10" t="inlineStr">
        <is>
          <t>Estrutura pronta, sem valores; nomes e percentuais do histórico não são tratados como regra</t>
        </is>
      </c>
      <c r="H20" s="10" t="inlineStr">
        <is>
          <t>Negócio + financeiro</t>
        </is>
      </c>
      <c r="I20" s="10" t="inlineStr">
        <is>
          <t>B10</t>
        </is>
      </c>
      <c r="J20" s="11" t="inlineStr"/>
      <c r="K20" s="11" t="inlineStr"/>
      <c r="L20" s="11" t="inlineStr"/>
      <c r="M20" s="11" t="inlineStr"/>
    </row>
    <row r="21" ht="110" customHeight="1">
      <c r="A21" s="8" t="n">
        <v>6</v>
      </c>
      <c r="B21" s="9" t="inlineStr">
        <is>
          <t>PD-013</t>
        </is>
      </c>
      <c r="C21" s="10" t="inlineStr">
        <is>
          <t>Parâmetros fiscais</t>
        </is>
      </c>
      <c r="D21" s="10" t="inlineStr">
        <is>
          <t>Qual o enquadramento tributário atual (ex.: Simples Nacional, anexos II/III), a regra do RBT12 e quem é o contador que confirma as apurações?</t>
        </is>
      </c>
      <c r="E21" s="10" t="inlineStr">
        <is>
          <t>A planilha inclui o mês corrente no RBT12; a proposta usa os 12 meses anteriores. Qual está correta para a empresa?</t>
        </is>
      </c>
      <c r="F21" s="10" t="inlineStr">
        <is>
          <t>Contador informa enquadramento, anexos, faixas e regra do RBT12</t>
        </is>
      </c>
      <c r="G21" s="10" t="inlineStr">
        <is>
          <t>Simulação fica indisponível até o contador confirmar os parâmetros</t>
        </is>
      </c>
      <c r="H21" s="10" t="inlineStr">
        <is>
          <t>Contador + financeiro</t>
        </is>
      </c>
      <c r="I21" s="10" t="inlineStr">
        <is>
          <t>B10</t>
        </is>
      </c>
      <c r="J21" s="11" t="inlineStr"/>
      <c r="K21" s="11" t="inlineStr"/>
      <c r="L21" s="11" t="inlineStr"/>
      <c r="M21" s="11" t="inlineStr"/>
    </row>
    <row r="22" ht="110" customHeight="1">
      <c r="A22" s="8" t="n">
        <v>6</v>
      </c>
      <c r="B22" s="9" t="inlineStr">
        <is>
          <t>PD-022</t>
        </is>
      </c>
      <c r="C22" s="10" t="inlineStr">
        <is>
          <t>Reclassificação e relatórios antigos</t>
        </is>
      </c>
      <c r="D22" s="10" t="inlineStr">
        <is>
          <t>Se a categoria de um lançamento antigo for corrigida, os relatórios passados mudam ou mostram a classificação da época?</t>
        </is>
      </c>
      <c r="E22" s="10" t="inlineStr">
        <is>
          <t>Despesa de 2026 reclassificada em 2027 de 'Mecânica' para 'Elétrica'.</t>
        </is>
      </c>
      <c r="F22" s="10" t="inlineStr">
        <is>
          <t>a) Mostrar a da época (com opção de ver a atual) | b) Sempre a atual</t>
        </is>
      </c>
      <c r="G22" s="10" t="inlineStr">
        <is>
          <t>Padrão: classificação da época, com opção de consultar pela atual</t>
        </is>
      </c>
      <c r="H22" s="10" t="inlineStr">
        <is>
          <t>Negócio (Edson)</t>
        </is>
      </c>
      <c r="I22" s="10" t="inlineStr">
        <is>
          <t>B10</t>
        </is>
      </c>
      <c r="J22" s="11" t="inlineStr"/>
      <c r="K22" s="11" t="inlineStr"/>
      <c r="L22" s="11" t="inlineStr"/>
      <c r="M22" s="11" t="inlineStr"/>
    </row>
    <row r="23" ht="110" customHeight="1">
      <c r="A23" s="8" t="n">
        <v>7</v>
      </c>
      <c r="B23" s="9" t="inlineStr">
        <is>
          <t>PD-019</t>
        </is>
      </c>
      <c r="C23" s="10" t="inlineStr">
        <is>
          <t>Data de corte da migração</t>
        </is>
      </c>
      <c r="D23" s="10" t="inlineStr">
        <is>
          <t>A partir de que data o ERP passa a ser o sistema oficial? O histórico antigo entra completo ou só os saldos em aberto naquela data?</t>
        </is>
      </c>
      <c r="E23" s="10" t="inlineStr">
        <is>
          <t>Corte em 01/01/2027: parcelas já pagas entram como histórico e as abertas como títulos?</t>
        </is>
      </c>
      <c r="F23" s="10" t="inlineStr">
        <is>
          <t>Informar data e o que entra: histórico completo / só saldos abertos / misto</t>
        </is>
      </c>
      <c r="G23" s="10" t="inlineStr">
        <is>
          <t>Nenhuma carga definitiva antes da definição</t>
        </is>
      </c>
      <c r="H23" s="10" t="inlineStr">
        <is>
          <t>Negócio + financeiro</t>
        </is>
      </c>
      <c r="I23" s="10" t="inlineStr">
        <is>
          <t>B12</t>
        </is>
      </c>
      <c r="J23" s="11" t="inlineStr"/>
      <c r="K23" s="11" t="inlineStr"/>
      <c r="L23" s="11" t="inlineStr"/>
      <c r="M23" s="11" t="inlineStr"/>
    </row>
    <row r="24" ht="110" customHeight="1">
      <c r="A24" s="8" t="n">
        <v>7</v>
      </c>
      <c r="B24" s="9" t="inlineStr">
        <is>
          <t>PD-020</t>
        </is>
      </c>
      <c r="C24" s="10" t="inlineStr">
        <is>
          <t>Onde o servidor vai ficar</t>
        </is>
      </c>
      <c r="D24" s="10" t="inlineStr">
        <is>
          <t>O servidor ficará na empresa (rede local) ou na nuvem? Quantas pessoas usarão ao mesmo tempo e em quantos Macs?</t>
        </is>
      </c>
      <c r="E24" s="10" t="inlineStr">
        <is>
          <t>Servidor na empresa funciona sem internet externa, mas quem está fora precisa de VPN.</t>
        </is>
      </c>
      <c r="F24" s="10" t="inlineStr">
        <is>
          <t>a) Servidor local | b) Nuvem | c) Ainda não sei. Informar nº de usuários</t>
        </is>
      </c>
      <c r="G24" s="10" t="inlineStr">
        <is>
          <t>Não definido; desenvolvimento usa ambiente de teste</t>
        </is>
      </c>
      <c r="H24" s="10" t="inlineStr">
        <is>
          <t>Negócio + infraestrutura</t>
        </is>
      </c>
      <c r="I24" s="10" t="inlineStr">
        <is>
          <t>B13 (piloto)</t>
        </is>
      </c>
      <c r="J24" s="11" t="inlineStr"/>
      <c r="K24" s="11" t="inlineStr"/>
      <c r="L24" s="11" t="inlineStr"/>
      <c r="M24" s="11" t="inlineStr"/>
    </row>
    <row r="25" ht="110" customHeight="1">
      <c r="A25" s="8" t="n">
        <v>7</v>
      </c>
      <c r="B25" s="9" t="inlineStr">
        <is>
          <t>PD-021</t>
        </is>
      </c>
      <c r="C25" s="10" t="inlineStr">
        <is>
          <t>Backup e recuperação</t>
        </is>
      </c>
      <c r="D25" s="10" t="inlineStr">
        <is>
          <t>Quanto de trabalho a empresa aceita perder em uma falha (ex.: 1 hora, 1 dia) e em quanto tempo o sistema precisa voltar? Por quanto tempo guardar dados e anexos?</t>
        </is>
      </c>
      <c r="E25" s="10" t="inlineStr">
        <is>
          <t>Backup a cada hora + recuperação em 4 horas é suficiente?</t>
        </is>
      </c>
      <c r="F25" s="10" t="inlineStr">
        <is>
          <t>Informar perda máxima, tempo de retorno e prazo de guarda</t>
        </is>
      </c>
      <c r="G25" s="10" t="inlineStr">
        <is>
          <t>Não definido</t>
        </is>
      </c>
      <c r="H25" s="10" t="inlineStr">
        <is>
          <t>Negócio + operação</t>
        </is>
      </c>
      <c r="I25" s="10" t="inlineStr">
        <is>
          <t>B13 (piloto)</t>
        </is>
      </c>
      <c r="J25" s="11" t="inlineStr"/>
      <c r="K25" s="11" t="inlineStr"/>
      <c r="L25" s="11" t="inlineStr"/>
      <c r="M25" s="11" t="inlineStr"/>
    </row>
  </sheetData>
  <autoFilter ref="A1:M25"/>
  <conditionalFormatting sqref="K2:K25">
    <cfRule type="expression" priority="1" dxfId="0">
      <formula>AND($J2="Quero outra regra",LEN($K2)=0)</formula>
    </cfRule>
  </conditionalFormatting>
  <dataValidations count="1">
    <dataValidation sqref="J2:J25" showDropDown="0" showInputMessage="0" showErrorMessage="1" allowBlank="1" error="Escolha uma opção da lista" type="list">
      <formula1>"Aceito a premissa,Quero outra regra,Ainda não sei,Vou consultar alguém"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4" t="inlineStr">
        <is>
          <t>Situação</t>
        </is>
      </c>
      <c r="B1" s="4" t="inlineStr">
        <is>
          <t>Quantidade</t>
        </is>
      </c>
    </row>
    <row r="2">
      <c r="A2" s="12" t="inlineStr">
        <is>
          <t>Aceito a premissa</t>
        </is>
      </c>
      <c r="B2" s="12">
        <f>COUNTIF('Decisões'!$J$2:$J$25,A2)</f>
        <v/>
      </c>
    </row>
    <row r="3">
      <c r="A3" s="12" t="inlineStr">
        <is>
          <t>Quero outra regra</t>
        </is>
      </c>
      <c r="B3" s="12">
        <f>COUNTIF('Decisões'!$J$2:$J$25,A3)</f>
        <v/>
      </c>
    </row>
    <row r="4">
      <c r="A4" s="12" t="inlineStr">
        <is>
          <t>Ainda não sei</t>
        </is>
      </c>
      <c r="B4" s="12">
        <f>COUNTIF('Decisões'!$J$2:$J$25,A4)</f>
        <v/>
      </c>
    </row>
    <row r="5">
      <c r="A5" s="12" t="inlineStr">
        <is>
          <t>Vou consultar alguém</t>
        </is>
      </c>
      <c r="B5" s="12">
        <f>COUNTIF('Decisões'!$J$2:$J$25,A5)</f>
        <v/>
      </c>
    </row>
    <row r="6">
      <c r="A6" s="12" t="inlineStr">
        <is>
          <t>Sem resposta</t>
        </is>
      </c>
      <c r="B6" s="12">
        <f>COUNTIF('Decisões'!$J$2:$J$25,"")</f>
        <v/>
      </c>
    </row>
    <row r="7">
      <c r="A7" s="13" t="inlineStr">
        <is>
          <t>Total</t>
        </is>
      </c>
      <c r="B7" s="13">
        <f>SUM(B2:B6)</f>
        <v/>
      </c>
    </row>
    <row r="8"/>
    <row r="9">
      <c r="A9" s="12" t="inlineStr">
        <is>
          <t>Prioridade 1 (necessárias agora) ainda sem resposta</t>
        </is>
      </c>
      <c r="B9" s="12">
        <f>COUNTIFS('Decisões'!$A$2:$A$25,1,'Decisões'!$J$2:$J$25,"")</f>
        <v/>
      </c>
    </row>
    <row r="10">
      <c r="A10" s="12" t="inlineStr">
        <is>
          <t>'Quero outra regra' sem descrição</t>
        </is>
      </c>
      <c r="B10" s="12">
        <f>COUNTIFS('Decisões'!$J$2:$J$25,"Quero outra regra",'Decisões'!$K$2:$K$25,"")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2026-09-25T12:50:35Z</dcterms:created>
  <dcterms:modified xsi:type="dcterms:W3CDTF">2026-09-25T12:55:10Z</dcterms:modified>
</cp:coreProperties>
</file>